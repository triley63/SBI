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22995" windowHeight="10545" activeTab="1"/>
  </bookViews>
  <sheets>
    <sheet name="Invoice" sheetId="1" r:id="rId1"/>
    <sheet name="Recipe" sheetId="3" r:id="rId2"/>
    <sheet name="VendorData" sheetId="2" state="hidden" r:id="rId3"/>
    <sheet name="RecipeName" sheetId="10" state="hidden" r:id="rId4"/>
    <sheet name="RecipeData" sheetId="4" r:id="rId5"/>
    <sheet name="InvoiceData" sheetId="9" r:id="rId6"/>
    <sheet name="InvoiceStats" sheetId="7" r:id="rId7"/>
    <sheet name="UOM" sheetId="6" r:id="rId8"/>
  </sheets>
  <definedNames>
    <definedName name="_xlnm._FilterDatabase" localSheetId="5" hidden="1">InvoiceData!$A$1:$I$10</definedName>
    <definedName name="_xlnm._FilterDatabase" localSheetId="4" hidden="1">RecipeData!$A$1:$A$11</definedName>
    <definedName name="_xlnm._FilterDatabase" localSheetId="7" hidden="1">UOM!$D$1:$D$9</definedName>
    <definedName name="UOMList">UOM!$A:$A</definedName>
  </definedNames>
  <calcPr calcId="145621"/>
</workbook>
</file>

<file path=xl/calcChain.xml><?xml version="1.0" encoding="utf-8"?>
<calcChain xmlns="http://schemas.openxmlformats.org/spreadsheetml/2006/main">
  <c r="F6" i="3" l="1"/>
  <c r="E6" i="1"/>
  <c r="F5" i="1"/>
  <c r="G5" i="1"/>
</calcChain>
</file>

<file path=xl/sharedStrings.xml><?xml version="1.0" encoding="utf-8"?>
<sst xmlns="http://schemas.openxmlformats.org/spreadsheetml/2006/main" count="143" uniqueCount="48">
  <si>
    <t>Item</t>
  </si>
  <si>
    <t>UOM</t>
  </si>
  <si>
    <t>Amount</t>
  </si>
  <si>
    <t>Total Price</t>
  </si>
  <si>
    <t>Ingredient</t>
  </si>
  <si>
    <t>Yield</t>
  </si>
  <si>
    <t>Clean Amount</t>
  </si>
  <si>
    <t>Unit Price</t>
  </si>
  <si>
    <t>bunch</t>
  </si>
  <si>
    <t>Raw Amount</t>
  </si>
  <si>
    <t>lbs</t>
  </si>
  <si>
    <t>hds</t>
  </si>
  <si>
    <t>gal</t>
  </si>
  <si>
    <t>oz</t>
  </si>
  <si>
    <t>Recipe Name:</t>
  </si>
  <si>
    <t>Price</t>
  </si>
  <si>
    <t>Total</t>
  </si>
  <si>
    <t>% Upcharge</t>
  </si>
  <si>
    <t>pint</t>
  </si>
  <si>
    <t>cup</t>
  </si>
  <si>
    <t>PurchasedUOM</t>
  </si>
  <si>
    <t>UOM List</t>
  </si>
  <si>
    <t>clove</t>
  </si>
  <si>
    <t>whole</t>
  </si>
  <si>
    <t>CTRL + A</t>
  </si>
  <si>
    <t>CTRL+H</t>
  </si>
  <si>
    <t>CTRL + L</t>
  </si>
  <si>
    <t>Recipe</t>
  </si>
  <si>
    <t>Name Of Dish</t>
  </si>
  <si>
    <t>Invoice Date</t>
  </si>
  <si>
    <t>Vendor</t>
  </si>
  <si>
    <t>High</t>
  </si>
  <si>
    <t>Low</t>
  </si>
  <si>
    <t>Average</t>
  </si>
  <si>
    <t>Vendor Name                                 CTRL+R</t>
  </si>
  <si>
    <t>Produce Vendor</t>
  </si>
  <si>
    <t>Roma Tomatoes</t>
  </si>
  <si>
    <t>Garlic</t>
  </si>
  <si>
    <t>Sweet Onions</t>
  </si>
  <si>
    <t>Pica de gallo</t>
  </si>
  <si>
    <t>CTRL + I</t>
  </si>
  <si>
    <t>Meat Vendor</t>
  </si>
  <si>
    <t>Chicken Breasts</t>
  </si>
  <si>
    <t>Pollo al comal</t>
  </si>
  <si>
    <t>Mushrooms</t>
  </si>
  <si>
    <t>Cilantro</t>
  </si>
  <si>
    <t>Bacon</t>
  </si>
  <si>
    <t>Pica Something Else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</si>
</sst>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</fills>
  <borders count="17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50">
    <xf numFmtId="0" fontId="0" fillId="0" borderId="0" xfId="0"/>
    <xf numFmtId="0" fontId="1" fillId="0" borderId="0" xfId="0" applyFont="1"/>
    <xf numFmtId="164" fontId="0" fillId="0" borderId="0" xfId="0" applyNumberFormat="1"/>
    <xf numFmtId="10" fontId="0" fillId="0" borderId="0" xfId="0" applyNumberFormat="1"/>
    <xf numFmtId="0" fontId="0" fillId="3" borderId="2" xfId="0" applyFill="1" applyBorder="1"/>
    <xf numFmtId="164" fontId="0" fillId="3" borderId="2" xfId="0" applyNumberFormat="1" applyFill="1" applyBorder="1"/>
    <xf numFmtId="10" fontId="0" fillId="3" borderId="2" xfId="0" applyNumberFormat="1" applyFill="1" applyBorder="1"/>
    <xf numFmtId="0" fontId="0" fillId="4" borderId="7" xfId="0" applyFill="1" applyBorder="1"/>
    <xf numFmtId="0" fontId="2" fillId="2" borderId="8" xfId="1" applyBorder="1"/>
    <xf numFmtId="0" fontId="2" fillId="2" borderId="9" xfId="1" applyBorder="1"/>
    <xf numFmtId="0" fontId="0" fillId="4" borderId="10" xfId="0" applyFill="1" applyBorder="1"/>
    <xf numFmtId="164" fontId="0" fillId="4" borderId="9" xfId="0" applyNumberFormat="1" applyFill="1" applyBorder="1"/>
    <xf numFmtId="10" fontId="0" fillId="4" borderId="9" xfId="0" applyNumberFormat="1" applyFill="1" applyBorder="1"/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164" fontId="2" fillId="5" borderId="5" xfId="0" applyNumberFormat="1" applyFont="1" applyFill="1" applyBorder="1" applyAlignment="1">
      <alignment horizontal="center"/>
    </xf>
    <xf numFmtId="164" fontId="2" fillId="5" borderId="5" xfId="0" applyNumberFormat="1" applyFont="1" applyFill="1" applyBorder="1" applyAlignment="1" applyProtection="1">
      <alignment horizontal="center"/>
    </xf>
    <xf numFmtId="10" fontId="2" fillId="5" borderId="5" xfId="0" applyNumberFormat="1" applyFont="1" applyFill="1" applyBorder="1" applyAlignment="1" applyProtection="1">
      <alignment horizontal="center"/>
    </xf>
    <xf numFmtId="0" fontId="0" fillId="4" borderId="6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0" borderId="9" xfId="0" applyFont="1" applyBorder="1" applyAlignment="1">
      <alignment horizontal="right"/>
    </xf>
    <xf numFmtId="164" fontId="3" fillId="0" borderId="9" xfId="0" applyNumberFormat="1" applyFont="1" applyBorder="1"/>
    <xf numFmtId="0" fontId="4" fillId="6" borderId="11" xfId="0" applyFont="1" applyFill="1" applyBorder="1"/>
    <xf numFmtId="0" fontId="0" fillId="3" borderId="3" xfId="0" applyFill="1" applyBorder="1"/>
    <xf numFmtId="0" fontId="5" fillId="3" borderId="2" xfId="0" applyFont="1" applyFill="1" applyBorder="1"/>
    <xf numFmtId="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1" fillId="7" borderId="13" xfId="0" applyFont="1" applyFill="1" applyBorder="1" applyAlignment="1">
      <alignment horizontal="left" vertical="center"/>
    </xf>
    <xf numFmtId="0" fontId="1" fillId="7" borderId="14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right" vertical="center"/>
    </xf>
    <xf numFmtId="0" fontId="1" fillId="7" borderId="15" xfId="0" applyFont="1" applyFill="1" applyBorder="1" applyAlignment="1">
      <alignment horizontal="center" vertical="center"/>
    </xf>
    <xf numFmtId="164" fontId="1" fillId="7" borderId="16" xfId="0" applyNumberFormat="1" applyFont="1" applyFill="1" applyBorder="1" applyAlignment="1">
      <alignment horizontal="right" vertical="center"/>
    </xf>
    <xf numFmtId="164" fontId="6" fillId="8" borderId="16" xfId="0" applyNumberFormat="1" applyFont="1" applyFill="1" applyBorder="1" applyAlignment="1">
      <alignment horizontal="right" vertical="center"/>
    </xf>
    <xf numFmtId="164" fontId="2" fillId="8" borderId="16" xfId="0" applyNumberFormat="1" applyFont="1" applyFill="1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right"/>
    </xf>
    <xf numFmtId="0" fontId="0" fillId="3" borderId="8" xfId="0" applyFill="1" applyBorder="1" applyAlignment="1">
      <alignment horizontal="right" vertical="center"/>
    </xf>
    <xf numFmtId="0" fontId="0" fillId="3" borderId="14" xfId="0" applyFill="1" applyBorder="1" applyAlignment="1">
      <alignment horizontal="right" vertical="center"/>
    </xf>
    <xf numFmtId="0" fontId="1" fillId="0" borderId="0" xfId="0" applyFont="1" applyBorder="1"/>
    <xf numFmtId="0" fontId="1" fillId="0" borderId="0" xfId="0" applyFont="1" applyFill="1" applyBorder="1"/>
    <xf numFmtId="4" fontId="1" fillId="0" borderId="0" xfId="0" applyNumberFormat="1" applyFont="1" applyBorder="1"/>
    <xf numFmtId="4" fontId="1" fillId="0" borderId="0" xfId="0" applyNumberFormat="1" applyFont="1" applyBorder="1" applyProtection="1"/>
    <xf numFmtId="10" fontId="1" fillId="0" borderId="0" xfId="0" applyNumberFormat="1" applyFont="1" applyBorder="1" applyProtection="1"/>
    <xf numFmtId="164" fontId="1" fillId="0" borderId="0" xfId="0" applyNumberFormat="1" applyFont="1"/>
    <xf numFmtId="14" fontId="0" fillId="0" borderId="0" xfId="0" applyNumberFormat="1"/>
    <xf numFmtId="0" fontId="0" fillId="0" borderId="0" xfId="0" applyFont="1"/>
  </cellXfs>
  <cellStyles count="2">
    <cellStyle name="Check Cell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0</xdr:row>
          <xdr:rowOff>57150</xdr:rowOff>
        </xdr:from>
        <xdr:to>
          <xdr:col>0</xdr:col>
          <xdr:colOff>1743075</xdr:colOff>
          <xdr:row>0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Vendor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5</xdr:row>
          <xdr:rowOff>0</xdr:rowOff>
        </xdr:from>
        <xdr:to>
          <xdr:col>7</xdr:col>
          <xdr:colOff>9525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Invoice To History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4</xdr:row>
          <xdr:rowOff>0</xdr:rowOff>
        </xdr:from>
        <xdr:to>
          <xdr:col>7</xdr:col>
          <xdr:colOff>295275</xdr:colOff>
          <xdr:row>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5</xdr:row>
          <xdr:rowOff>0</xdr:rowOff>
        </xdr:from>
        <xdr:to>
          <xdr:col>7</xdr:col>
          <xdr:colOff>257175</xdr:colOff>
          <xdr:row>5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Invoice To History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5</xdr:row>
          <xdr:rowOff>123825</xdr:rowOff>
        </xdr:from>
        <xdr:to>
          <xdr:col>7</xdr:col>
          <xdr:colOff>276225</xdr:colOff>
          <xdr:row>5</xdr:row>
          <xdr:rowOff>314325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Invoice To History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</xdr:row>
          <xdr:rowOff>9525</xdr:rowOff>
        </xdr:from>
        <xdr:to>
          <xdr:col>6</xdr:col>
          <xdr:colOff>209550</xdr:colOff>
          <xdr:row>3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200025</xdr:rowOff>
        </xdr:from>
        <xdr:to>
          <xdr:col>2</xdr:col>
          <xdr:colOff>752475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6</xdr:row>
          <xdr:rowOff>180975</xdr:rowOff>
        </xdr:from>
        <xdr:to>
          <xdr:col>4</xdr:col>
          <xdr:colOff>295275</xdr:colOff>
          <xdr:row>8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6</xdr:row>
          <xdr:rowOff>171450</xdr:rowOff>
        </xdr:from>
        <xdr:to>
          <xdr:col>6</xdr:col>
          <xdr:colOff>0</xdr:colOff>
          <xdr:row>8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New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8</xdr:row>
          <xdr:rowOff>66675</xdr:rowOff>
        </xdr:from>
        <xdr:to>
          <xdr:col>5</xdr:col>
          <xdr:colOff>819150</xdr:colOff>
          <xdr:row>9</xdr:row>
          <xdr:rowOff>95250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Price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6"/>
  <sheetViews>
    <sheetView showGridLines="0" zoomScaleNormal="100" workbookViewId="0">
      <selection activeCell="C15" sqref="C15"/>
    </sheetView>
  </sheetViews>
  <sheetFormatPr defaultRowHeight="15" customHeight="1" x14ac:dyDescent="0.25"/>
  <cols>
    <col min="1" max="1" width="50.85546875" customWidth="1"/>
    <col min="2" max="2" width="13.28515625" customWidth="1"/>
    <col min="3" max="3" width="13.7109375" bestFit="1" customWidth="1"/>
    <col min="4" max="4" width="10.28515625" bestFit="1" customWidth="1"/>
    <col min="5" max="5" width="10.28515625" style="2" bestFit="1" customWidth="1"/>
    <col min="6" max="6" width="10.28515625" style="2" customWidth="1"/>
    <col min="7" max="7" width="10.28515625" style="3" customWidth="1"/>
    <col min="8" max="8" width="5.85546875" customWidth="1"/>
  </cols>
  <sheetData>
    <row r="1" spans="1:9" ht="21.75" customHeight="1" x14ac:dyDescent="0.25">
      <c r="A1" s="22" t="s">
        <v>34</v>
      </c>
    </row>
    <row r="2" spans="1:9" x14ac:dyDescent="0.25">
      <c r="A2" s="24"/>
    </row>
    <row r="3" spans="1:9" ht="15" customHeight="1" thickBot="1" x14ac:dyDescent="0.3"/>
    <row r="4" spans="1:9" s="19" customFormat="1" ht="15" customHeight="1" x14ac:dyDescent="0.25">
      <c r="A4" s="13" t="s">
        <v>0</v>
      </c>
      <c r="B4" s="14" t="s">
        <v>9</v>
      </c>
      <c r="C4" s="14" t="s">
        <v>6</v>
      </c>
      <c r="D4" s="14" t="s">
        <v>1</v>
      </c>
      <c r="E4" s="15" t="s">
        <v>3</v>
      </c>
      <c r="F4" s="16" t="s">
        <v>7</v>
      </c>
      <c r="G4" s="17" t="s">
        <v>5</v>
      </c>
      <c r="H4" s="18"/>
    </row>
    <row r="5" spans="1:9" ht="15" customHeight="1" x14ac:dyDescent="0.25">
      <c r="A5" s="4"/>
      <c r="B5" s="4"/>
      <c r="C5" s="4"/>
      <c r="D5" s="23"/>
      <c r="E5" s="5"/>
      <c r="F5" s="5">
        <f>IF(E5=0,0,E5/B5)</f>
        <v>0</v>
      </c>
      <c r="G5" s="6">
        <f>IF(C5=0,0,C5/B5)</f>
        <v>0</v>
      </c>
      <c r="H5" s="7"/>
      <c r="I5" t="s">
        <v>26</v>
      </c>
    </row>
    <row r="6" spans="1:9" ht="27.75" customHeight="1" thickBot="1" x14ac:dyDescent="0.3">
      <c r="A6" s="8"/>
      <c r="B6" s="9"/>
      <c r="C6" s="9"/>
      <c r="D6" s="20" t="s">
        <v>3</v>
      </c>
      <c r="E6" s="21">
        <f>SUM(E5:E5)</f>
        <v>0</v>
      </c>
      <c r="F6" s="11"/>
      <c r="G6" s="12"/>
      <c r="H6" s="10"/>
      <c r="I6" t="s">
        <v>40</v>
      </c>
    </row>
  </sheetData>
  <dataConsolidate/>
  <dataValidations count="1">
    <dataValidation type="list" allowBlank="1" showInputMessage="1" showErrorMessage="1" sqref="D5">
      <formula1>UOMList</formula1>
    </dataValidation>
  </dataValidations>
  <pageMargins left="0.7" right="0.7" top="0.75" bottom="0.75" header="0.3" footer="0.3"/>
  <pageSetup scale="7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sertVendor" altText="Add Vendor">
                <anchor moveWithCells="1" sizeWithCells="1">
                  <from>
                    <xdr:col>0</xdr:col>
                    <xdr:colOff>923925</xdr:colOff>
                    <xdr:row>0</xdr:row>
                    <xdr:rowOff>57150</xdr:rowOff>
                  </from>
                  <to>
                    <xdr:col>0</xdr:col>
                    <xdr:colOff>1743075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AddInvoice">
                <anchor moveWithCells="1" sizeWithCells="1">
                  <from>
                    <xdr:col>4</xdr:col>
                    <xdr:colOff>190500</xdr:colOff>
                    <xdr:row>5</xdr:row>
                    <xdr:rowOff>0</xdr:rowOff>
                  </from>
                  <to>
                    <xdr:col>7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InsertNewInvoiceLine">
                <anchor moveWithCells="1" sizeWithCells="1">
                  <from>
                    <xdr:col>7</xdr:col>
                    <xdr:colOff>76200</xdr:colOff>
                    <xdr:row>4</xdr:row>
                    <xdr:rowOff>0</xdr:rowOff>
                  </from>
                  <to>
                    <xdr:col>7</xdr:col>
                    <xdr:colOff>295275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7" name="Button 35">
              <controlPr defaultSize="0" print="0" autoFill="0" autoPict="0" macro="[0]!AddInvoice">
                <anchor moveWithCells="1" sizeWithCells="1">
                  <from>
                    <xdr:col>5</xdr:col>
                    <xdr:colOff>123825</xdr:colOff>
                    <xdr:row>5</xdr:row>
                    <xdr:rowOff>0</xdr:rowOff>
                  </from>
                  <to>
                    <xdr:col>7</xdr:col>
                    <xdr:colOff>257175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8" name="Button 38">
              <controlPr defaultSize="0" print="0" autoFill="0" autoPict="0" macro="[0]!AddInvoice">
                <anchor moveWithCells="1" sizeWithCells="1">
                  <from>
                    <xdr:col>5</xdr:col>
                    <xdr:colOff>200025</xdr:colOff>
                    <xdr:row>5</xdr:row>
                    <xdr:rowOff>123825</xdr:rowOff>
                  </from>
                  <to>
                    <xdr:col>7</xdr:col>
                    <xdr:colOff>276225</xdr:colOff>
                    <xdr:row>5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VendorData!$A:$A</xm:f>
          </x14:formula1>
          <xm:sqref>A2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6"/>
  <sheetViews>
    <sheetView tabSelected="1" workbookViewId="0">
      <selection activeCell="B12" sqref="B12"/>
    </sheetView>
  </sheetViews>
  <sheetFormatPr defaultRowHeight="15" x14ac:dyDescent="0.25"/>
  <cols>
    <col min="1" max="1" width="13.42578125" bestFit="1" customWidth="1"/>
    <col min="2" max="2" width="28.42578125" customWidth="1"/>
    <col min="3" max="3" width="25.140625" style="27" customWidth="1"/>
    <col min="4" max="4" width="9.140625" style="26"/>
    <col min="5" max="5" width="8.28515625" style="26" customWidth="1"/>
    <col min="6" max="6" width="12.42578125" style="33" customWidth="1"/>
    <col min="7" max="7" width="3.42578125" customWidth="1"/>
  </cols>
  <sheetData>
    <row r="1" spans="1:8" ht="30" customHeight="1" x14ac:dyDescent="0.25">
      <c r="A1" s="1" t="s">
        <v>14</v>
      </c>
      <c r="C1" s="39" t="s">
        <v>25</v>
      </c>
    </row>
    <row r="2" spans="1:8" x14ac:dyDescent="0.25">
      <c r="A2" s="1" t="s">
        <v>15</v>
      </c>
      <c r="B2" s="2"/>
    </row>
    <row r="3" spans="1:8" ht="15.75" thickBot="1" x14ac:dyDescent="0.3">
      <c r="A3" s="1" t="s">
        <v>17</v>
      </c>
      <c r="B3" s="3"/>
    </row>
    <row r="4" spans="1:8" s="28" customFormat="1" ht="15.75" thickBot="1" x14ac:dyDescent="0.3">
      <c r="C4" s="31" t="s">
        <v>4</v>
      </c>
      <c r="D4" s="32" t="s">
        <v>2</v>
      </c>
      <c r="E4" s="34" t="s">
        <v>1</v>
      </c>
      <c r="F4" s="35" t="s">
        <v>15</v>
      </c>
      <c r="H4" s="28" t="s">
        <v>24</v>
      </c>
    </row>
    <row r="5" spans="1:8" s="28" customFormat="1" ht="15.75" thickBot="1" x14ac:dyDescent="0.3">
      <c r="A5" s="38"/>
      <c r="B5" s="30"/>
      <c r="C5" s="29"/>
      <c r="D5" s="30"/>
      <c r="E5" s="30"/>
      <c r="F5" s="36"/>
      <c r="G5"/>
    </row>
    <row r="6" spans="1:8" ht="15.75" thickBot="1" x14ac:dyDescent="0.3">
      <c r="C6" s="40" t="s">
        <v>16</v>
      </c>
      <c r="D6" s="41"/>
      <c r="E6" s="41"/>
      <c r="F6" s="37">
        <f>SUM(F5:F5)</f>
        <v>0</v>
      </c>
    </row>
  </sheetData>
  <mergeCells count="1">
    <mergeCell ref="C6:E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sertNewIngredientLine">
                <anchor moveWithCells="1" sizeWithCells="1">
                  <from>
                    <xdr:col>6</xdr:col>
                    <xdr:colOff>9525</xdr:colOff>
                    <xdr:row>3</xdr:row>
                    <xdr:rowOff>9525</xdr:rowOff>
                  </from>
                  <to>
                    <xdr:col>6</xdr:col>
                    <xdr:colOff>209550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earchForRecipe">
                <anchor moveWithCells="1" sizeWithCells="1">
                  <from>
                    <xdr:col>2</xdr:col>
                    <xdr:colOff>19050</xdr:colOff>
                    <xdr:row>0</xdr:row>
                    <xdr:rowOff>200025</xdr:rowOff>
                  </from>
                  <to>
                    <xdr:col>2</xdr:col>
                    <xdr:colOff>752475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learIngredients">
                <anchor moveWithCells="1" sizeWithCells="1">
                  <from>
                    <xdr:col>3</xdr:col>
                    <xdr:colOff>57150</xdr:colOff>
                    <xdr:row>6</xdr:row>
                    <xdr:rowOff>180975</xdr:rowOff>
                  </from>
                  <to>
                    <xdr:col>4</xdr:col>
                    <xdr:colOff>295275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AddUpdate">
                <anchor moveWithCells="1" sizeWithCells="1">
                  <from>
                    <xdr:col>4</xdr:col>
                    <xdr:colOff>342900</xdr:colOff>
                    <xdr:row>6</xdr:row>
                    <xdr:rowOff>171450</xdr:rowOff>
                  </from>
                  <to>
                    <xdr:col>6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UpdatePricing">
                <anchor moveWithCells="1" sizeWithCells="1">
                  <from>
                    <xdr:col>4</xdr:col>
                    <xdr:colOff>333375</xdr:colOff>
                    <xdr:row>8</xdr:row>
                    <xdr:rowOff>66675</xdr:rowOff>
                  </from>
                  <to>
                    <xdr:col>5</xdr:col>
                    <xdr:colOff>819150</xdr:colOff>
                    <xdr:row>9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UOM!$A$2:$A$100</xm:f>
          </x14:formula1>
          <xm:sqref>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"/>
  <sheetViews>
    <sheetView zoomScale="85" zoomScaleNormal="85" workbookViewId="0">
      <selection sqref="A1:XFD1"/>
    </sheetView>
  </sheetViews>
  <sheetFormatPr defaultRowHeight="15" customHeight="1" x14ac:dyDescent="0.25"/>
  <cols>
    <col min="1" max="1" width="71.42578125" customWidth="1"/>
  </cols>
  <sheetData>
    <row r="1" spans="1:1" ht="15" customHeight="1" x14ac:dyDescent="0.25">
      <c r="A1" t="s">
        <v>35</v>
      </c>
    </row>
    <row r="2" spans="1:1" ht="15" customHeight="1" x14ac:dyDescent="0.25">
      <c r="A2" t="s">
        <v>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"/>
  <sheetViews>
    <sheetView workbookViewId="0">
      <selection sqref="A1:A1048576"/>
    </sheetView>
  </sheetViews>
  <sheetFormatPr defaultRowHeight="15" x14ac:dyDescent="0.25"/>
  <cols>
    <col min="1" max="1" width="28.85546875" customWidth="1"/>
    <col min="2" max="2" width="9.140625" style="2"/>
  </cols>
  <sheetData>
    <row r="1" spans="1:2" x14ac:dyDescent="0.25">
      <c r="A1" s="1" t="s">
        <v>27</v>
      </c>
      <c r="B1" s="2" t="s">
        <v>15</v>
      </c>
    </row>
    <row r="2" spans="1:2" x14ac:dyDescent="0.25">
      <c r="A2" t="s">
        <v>39</v>
      </c>
      <c r="B2" s="2">
        <v>0.5</v>
      </c>
    </row>
    <row r="3" spans="1:2" x14ac:dyDescent="0.25">
      <c r="A3" t="s">
        <v>43</v>
      </c>
      <c r="B3" s="2">
        <v>9.9499999999999993</v>
      </c>
    </row>
    <row r="4" spans="1:2" x14ac:dyDescent="0.25">
      <c r="A4" t="s">
        <v>47</v>
      </c>
      <c r="B4" s="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1"/>
  <sheetViews>
    <sheetView workbookViewId="0">
      <selection activeCell="B1" sqref="B1"/>
    </sheetView>
  </sheetViews>
  <sheetFormatPr defaultRowHeight="15" customHeight="1" x14ac:dyDescent="0.25"/>
  <cols>
    <col min="1" max="1" width="43.7109375" customWidth="1"/>
    <col min="2" max="2" width="39.28515625" customWidth="1"/>
    <col min="3" max="3" width="8.140625" bestFit="1" customWidth="1"/>
    <col min="4" max="4" width="11.140625" customWidth="1"/>
    <col min="5" max="5" width="13.28515625" bestFit="1" customWidth="1"/>
  </cols>
  <sheetData>
    <row r="1" spans="1:5" s="1" customFormat="1" x14ac:dyDescent="0.25">
      <c r="A1" s="1" t="s">
        <v>28</v>
      </c>
      <c r="B1" s="1" t="s">
        <v>4</v>
      </c>
      <c r="C1" s="1" t="s">
        <v>2</v>
      </c>
      <c r="D1" s="1" t="s">
        <v>1</v>
      </c>
      <c r="E1" s="1" t="s">
        <v>15</v>
      </c>
    </row>
    <row r="2" spans="1:5" ht="15" customHeight="1" x14ac:dyDescent="0.25">
      <c r="A2" t="s">
        <v>39</v>
      </c>
      <c r="B2" t="s">
        <v>38</v>
      </c>
      <c r="C2">
        <v>2</v>
      </c>
      <c r="D2" t="s">
        <v>13</v>
      </c>
      <c r="E2">
        <v>7.8125E-2</v>
      </c>
    </row>
    <row r="3" spans="1:5" ht="15" customHeight="1" x14ac:dyDescent="0.25">
      <c r="A3" t="s">
        <v>39</v>
      </c>
      <c r="B3" t="s">
        <v>36</v>
      </c>
      <c r="C3">
        <v>2</v>
      </c>
      <c r="D3" t="s">
        <v>13</v>
      </c>
      <c r="E3">
        <v>8.3331249999999996E-2</v>
      </c>
    </row>
    <row r="4" spans="1:5" ht="15" customHeight="1" x14ac:dyDescent="0.25">
      <c r="A4" t="s">
        <v>43</v>
      </c>
      <c r="B4" t="s">
        <v>37</v>
      </c>
      <c r="C4">
        <v>3</v>
      </c>
      <c r="D4" t="s">
        <v>22</v>
      </c>
      <c r="E4">
        <v>9.2499999999999999E-2</v>
      </c>
    </row>
    <row r="5" spans="1:5" ht="15" customHeight="1" x14ac:dyDescent="0.25">
      <c r="A5" t="s">
        <v>43</v>
      </c>
      <c r="B5" t="s">
        <v>38</v>
      </c>
      <c r="C5">
        <v>3</v>
      </c>
      <c r="D5" t="s">
        <v>13</v>
      </c>
      <c r="E5">
        <v>7.8125E-2</v>
      </c>
    </row>
    <row r="6" spans="1:5" ht="15" customHeight="1" x14ac:dyDescent="0.25">
      <c r="A6" t="s">
        <v>43</v>
      </c>
      <c r="B6" t="s">
        <v>42</v>
      </c>
      <c r="C6">
        <v>6</v>
      </c>
      <c r="D6" t="s">
        <v>13</v>
      </c>
      <c r="E6">
        <v>8.4375000000000006E-2</v>
      </c>
    </row>
    <row r="7" spans="1:5" ht="15" customHeight="1" x14ac:dyDescent="0.25">
      <c r="A7" t="s">
        <v>39</v>
      </c>
      <c r="B7" t="s">
        <v>37</v>
      </c>
      <c r="C7">
        <v>1</v>
      </c>
      <c r="D7" t="s">
        <v>22</v>
      </c>
      <c r="E7">
        <v>9.2499999999999999E-2</v>
      </c>
    </row>
    <row r="8" spans="1:5" ht="15" customHeight="1" x14ac:dyDescent="0.25">
      <c r="A8" t="s">
        <v>43</v>
      </c>
      <c r="B8" t="s">
        <v>44</v>
      </c>
      <c r="C8">
        <v>4</v>
      </c>
      <c r="D8" t="s">
        <v>13</v>
      </c>
      <c r="E8">
        <v>5.46875E-2</v>
      </c>
    </row>
    <row r="9" spans="1:5" ht="15" customHeight="1" x14ac:dyDescent="0.25">
      <c r="A9" t="s">
        <v>39</v>
      </c>
      <c r="B9" t="s">
        <v>45</v>
      </c>
      <c r="C9">
        <v>0.25</v>
      </c>
      <c r="D9" t="s">
        <v>8</v>
      </c>
      <c r="E9">
        <v>0.83699999999999997</v>
      </c>
    </row>
    <row r="10" spans="1:5" ht="15" customHeight="1" x14ac:dyDescent="0.25">
      <c r="A10" t="s">
        <v>43</v>
      </c>
      <c r="B10" t="s">
        <v>46</v>
      </c>
      <c r="C10">
        <v>2</v>
      </c>
      <c r="D10" t="s">
        <v>13</v>
      </c>
      <c r="E10">
        <v>8.1250000000000003E-2</v>
      </c>
    </row>
    <row r="11" spans="1:5" ht="15" customHeight="1" x14ac:dyDescent="0.25">
      <c r="A11" t="s">
        <v>47</v>
      </c>
      <c r="B11" t="s">
        <v>37</v>
      </c>
      <c r="C11">
        <v>2</v>
      </c>
      <c r="D11" t="s">
        <v>13</v>
      </c>
      <c r="E11">
        <v>0</v>
      </c>
    </row>
  </sheetData>
  <autoFilter ref="A1:A1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10"/>
  <sheetViews>
    <sheetView topLeftCell="A10" workbookViewId="0">
      <selection activeCell="C1" sqref="C1:C1048576"/>
    </sheetView>
  </sheetViews>
  <sheetFormatPr defaultRowHeight="15" x14ac:dyDescent="0.25"/>
  <cols>
    <col min="1" max="1" width="12" bestFit="1" customWidth="1"/>
    <col min="2" max="2" width="28.5703125" customWidth="1"/>
    <col min="3" max="3" width="32.5703125" style="49" customWidth="1"/>
    <col min="4" max="4" width="12.28515625" bestFit="1" customWidth="1"/>
    <col min="5" max="5" width="13.7109375" bestFit="1" customWidth="1"/>
    <col min="6" max="6" width="5.7109375" bestFit="1" customWidth="1"/>
    <col min="7" max="7" width="10.28515625" style="25" bestFit="1" customWidth="1"/>
    <col min="8" max="8" width="9.7109375" style="25" bestFit="1" customWidth="1"/>
    <col min="9" max="9" width="8.140625" style="3" bestFit="1" customWidth="1"/>
  </cols>
  <sheetData>
    <row r="1" spans="1:11" s="1" customFormat="1" x14ac:dyDescent="0.25">
      <c r="A1" s="1" t="s">
        <v>29</v>
      </c>
      <c r="B1" s="1" t="s">
        <v>30</v>
      </c>
      <c r="C1" s="42" t="s">
        <v>0</v>
      </c>
      <c r="D1" s="42" t="s">
        <v>9</v>
      </c>
      <c r="E1" s="42" t="s">
        <v>6</v>
      </c>
      <c r="F1" s="43" t="s">
        <v>1</v>
      </c>
      <c r="G1" s="44" t="s">
        <v>3</v>
      </c>
      <c r="H1" s="45" t="s">
        <v>7</v>
      </c>
      <c r="I1" s="46" t="s">
        <v>5</v>
      </c>
      <c r="J1" s="47"/>
      <c r="K1" s="47"/>
    </row>
    <row r="2" spans="1:11" x14ac:dyDescent="0.25">
      <c r="A2" s="48">
        <v>41237</v>
      </c>
      <c r="B2" t="s">
        <v>35</v>
      </c>
      <c r="C2" s="49" t="s">
        <v>36</v>
      </c>
      <c r="D2">
        <v>50</v>
      </c>
      <c r="E2">
        <v>49.6</v>
      </c>
      <c r="F2" t="s">
        <v>10</v>
      </c>
      <c r="G2" s="25">
        <v>65</v>
      </c>
      <c r="H2" s="25">
        <v>1.3</v>
      </c>
      <c r="I2" s="3">
        <v>0.99199999999999999</v>
      </c>
    </row>
    <row r="3" spans="1:11" x14ac:dyDescent="0.25">
      <c r="A3" s="48">
        <v>41237</v>
      </c>
      <c r="B3" t="s">
        <v>35</v>
      </c>
      <c r="C3" s="49" t="s">
        <v>38</v>
      </c>
      <c r="D3">
        <v>10</v>
      </c>
      <c r="E3">
        <v>9.5</v>
      </c>
      <c r="F3" t="s">
        <v>10</v>
      </c>
      <c r="G3" s="25">
        <v>12.5</v>
      </c>
      <c r="H3" s="25">
        <v>1.25</v>
      </c>
      <c r="I3" s="3">
        <v>0.95</v>
      </c>
    </row>
    <row r="4" spans="1:11" x14ac:dyDescent="0.25">
      <c r="A4" s="48">
        <v>41237</v>
      </c>
      <c r="B4" t="s">
        <v>35</v>
      </c>
      <c r="C4" s="49" t="s">
        <v>37</v>
      </c>
      <c r="D4">
        <v>10</v>
      </c>
      <c r="E4">
        <v>10</v>
      </c>
      <c r="F4" t="s">
        <v>11</v>
      </c>
      <c r="G4" s="25">
        <v>9.25</v>
      </c>
      <c r="H4" s="25">
        <v>0.92500000000000004</v>
      </c>
      <c r="I4" s="3">
        <v>1</v>
      </c>
    </row>
    <row r="5" spans="1:11" x14ac:dyDescent="0.25">
      <c r="A5" s="48">
        <v>41237</v>
      </c>
      <c r="B5" t="s">
        <v>41</v>
      </c>
      <c r="C5" s="49" t="s">
        <v>42</v>
      </c>
      <c r="D5">
        <v>10</v>
      </c>
      <c r="E5">
        <v>9.25</v>
      </c>
      <c r="F5" t="s">
        <v>10</v>
      </c>
      <c r="G5" s="25">
        <v>13.5</v>
      </c>
      <c r="H5" s="25">
        <v>1.35</v>
      </c>
      <c r="I5" s="3">
        <v>0.92500000000000004</v>
      </c>
    </row>
    <row r="6" spans="1:11" x14ac:dyDescent="0.25">
      <c r="A6" s="48">
        <v>41237</v>
      </c>
      <c r="B6" t="s">
        <v>35</v>
      </c>
      <c r="C6" s="49" t="s">
        <v>36</v>
      </c>
      <c r="D6">
        <v>30</v>
      </c>
      <c r="E6">
        <v>29.2</v>
      </c>
      <c r="F6" t="s">
        <v>10</v>
      </c>
      <c r="G6" s="25">
        <v>40</v>
      </c>
      <c r="H6" s="25">
        <v>1.3333333333333333</v>
      </c>
      <c r="I6" s="3">
        <v>0.97333333333333327</v>
      </c>
    </row>
    <row r="7" spans="1:11" x14ac:dyDescent="0.25">
      <c r="A7" s="48">
        <v>41237</v>
      </c>
      <c r="B7" t="s">
        <v>35</v>
      </c>
      <c r="C7" s="49" t="s">
        <v>44</v>
      </c>
      <c r="D7">
        <v>10</v>
      </c>
      <c r="E7">
        <v>9.8000000000000007</v>
      </c>
      <c r="F7" t="s">
        <v>10</v>
      </c>
      <c r="G7" s="25">
        <v>8.75</v>
      </c>
      <c r="H7" s="25">
        <v>0.875</v>
      </c>
      <c r="I7" s="3">
        <v>0.98000000000000009</v>
      </c>
    </row>
    <row r="8" spans="1:11" x14ac:dyDescent="0.25">
      <c r="A8" s="48">
        <v>41237</v>
      </c>
      <c r="B8" t="s">
        <v>35</v>
      </c>
      <c r="C8" s="49" t="s">
        <v>45</v>
      </c>
      <c r="D8">
        <v>10</v>
      </c>
      <c r="E8">
        <v>10</v>
      </c>
      <c r="F8" t="s">
        <v>8</v>
      </c>
      <c r="G8" s="25">
        <v>8.3699999999999992</v>
      </c>
      <c r="H8" s="25">
        <v>0.83699999999999997</v>
      </c>
      <c r="I8" s="3">
        <v>1</v>
      </c>
    </row>
    <row r="9" spans="1:11" x14ac:dyDescent="0.25">
      <c r="A9" s="48">
        <v>41237</v>
      </c>
      <c r="B9" t="s">
        <v>35</v>
      </c>
      <c r="C9" s="49" t="s">
        <v>38</v>
      </c>
      <c r="D9">
        <v>10</v>
      </c>
      <c r="E9">
        <v>9.4</v>
      </c>
      <c r="F9" t="s">
        <v>10</v>
      </c>
      <c r="G9" s="25">
        <v>9.5</v>
      </c>
      <c r="H9" s="25">
        <v>0.95</v>
      </c>
      <c r="I9" s="3">
        <v>0.94000000000000006</v>
      </c>
    </row>
    <row r="10" spans="1:11" x14ac:dyDescent="0.25">
      <c r="A10" s="48">
        <v>41237</v>
      </c>
      <c r="B10" t="s">
        <v>41</v>
      </c>
      <c r="C10" s="49" t="s">
        <v>46</v>
      </c>
      <c r="D10">
        <v>5</v>
      </c>
      <c r="E10">
        <v>3.5</v>
      </c>
      <c r="F10" t="s">
        <v>10</v>
      </c>
      <c r="G10" s="25">
        <v>6.5</v>
      </c>
      <c r="H10" s="25">
        <v>1.3</v>
      </c>
      <c r="I10" s="3">
        <v>0.7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8"/>
  <sheetViews>
    <sheetView workbookViewId="0">
      <selection sqref="A1:A1048576"/>
    </sheetView>
  </sheetViews>
  <sheetFormatPr defaultRowHeight="15" x14ac:dyDescent="0.25"/>
  <cols>
    <col min="1" max="1" width="57.42578125" customWidth="1"/>
    <col min="2" max="2" width="9.140625" customWidth="1"/>
    <col min="3" max="3" width="13.5703125" style="2" customWidth="1"/>
    <col min="4" max="4" width="12.5703125" style="2" customWidth="1"/>
    <col min="5" max="5" width="14.7109375" style="2" customWidth="1"/>
  </cols>
  <sheetData>
    <row r="1" spans="1:5" s="1" customFormat="1" x14ac:dyDescent="0.25">
      <c r="A1" s="1" t="s">
        <v>0</v>
      </c>
      <c r="B1" s="1" t="s">
        <v>1</v>
      </c>
      <c r="C1" s="47" t="s">
        <v>31</v>
      </c>
      <c r="D1" s="47" t="s">
        <v>32</v>
      </c>
      <c r="E1" s="47" t="s">
        <v>33</v>
      </c>
    </row>
    <row r="2" spans="1:5" x14ac:dyDescent="0.25">
      <c r="A2" t="s">
        <v>36</v>
      </c>
      <c r="B2" t="s">
        <v>10</v>
      </c>
      <c r="C2" s="2">
        <v>1.3333333333333333</v>
      </c>
      <c r="D2" s="2">
        <v>1.3</v>
      </c>
      <c r="E2" s="2">
        <v>1.3166666666666667</v>
      </c>
    </row>
    <row r="3" spans="1:5" x14ac:dyDescent="0.25">
      <c r="A3" t="s">
        <v>38</v>
      </c>
      <c r="B3" t="s">
        <v>10</v>
      </c>
      <c r="C3" s="2">
        <v>1.25</v>
      </c>
      <c r="D3" s="2">
        <v>0.95</v>
      </c>
      <c r="E3" s="2">
        <v>1.1000000000000001</v>
      </c>
    </row>
    <row r="4" spans="1:5" x14ac:dyDescent="0.25">
      <c r="A4" t="s">
        <v>37</v>
      </c>
      <c r="B4" t="s">
        <v>11</v>
      </c>
      <c r="C4" s="2">
        <v>0.92500000000000004</v>
      </c>
      <c r="D4" s="2">
        <v>0.92500000000000004</v>
      </c>
      <c r="E4" s="2">
        <v>0.92500000000000004</v>
      </c>
    </row>
    <row r="5" spans="1:5" x14ac:dyDescent="0.25">
      <c r="A5" t="s">
        <v>42</v>
      </c>
      <c r="B5" t="s">
        <v>10</v>
      </c>
      <c r="C5" s="2">
        <v>1.35</v>
      </c>
      <c r="D5" s="2">
        <v>1.35</v>
      </c>
      <c r="E5" s="2">
        <v>1.35</v>
      </c>
    </row>
    <row r="6" spans="1:5" x14ac:dyDescent="0.25">
      <c r="A6" t="s">
        <v>44</v>
      </c>
      <c r="B6" t="s">
        <v>10</v>
      </c>
      <c r="C6" s="2">
        <v>0.875</v>
      </c>
      <c r="D6" s="2">
        <v>0.875</v>
      </c>
      <c r="E6" s="2">
        <v>0.875</v>
      </c>
    </row>
    <row r="7" spans="1:5" x14ac:dyDescent="0.25">
      <c r="A7" t="s">
        <v>45</v>
      </c>
      <c r="B7" t="s">
        <v>8</v>
      </c>
      <c r="C7" s="2">
        <v>0.83699999999999997</v>
      </c>
      <c r="D7" s="2">
        <v>0.83699999999999997</v>
      </c>
      <c r="E7" s="2">
        <v>0.83699999999999997</v>
      </c>
    </row>
    <row r="8" spans="1:5" x14ac:dyDescent="0.25">
      <c r="A8" t="s">
        <v>46</v>
      </c>
      <c r="B8" t="s">
        <v>10</v>
      </c>
      <c r="C8" s="2">
        <v>1.3</v>
      </c>
      <c r="D8" s="2">
        <v>1.3</v>
      </c>
      <c r="E8" s="2">
        <v>1.3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9"/>
  <sheetViews>
    <sheetView workbookViewId="0">
      <selection activeCell="E1" sqref="E1 E6 E10:E1048576"/>
    </sheetView>
  </sheetViews>
  <sheetFormatPr defaultRowHeight="15" x14ac:dyDescent="0.25"/>
  <cols>
    <col min="1" max="1" width="8.85546875" bestFit="1" customWidth="1"/>
    <col min="4" max="4" width="17" bestFit="1" customWidth="1"/>
  </cols>
  <sheetData>
    <row r="1" spans="1:6" x14ac:dyDescent="0.25">
      <c r="A1" t="s">
        <v>21</v>
      </c>
      <c r="D1" t="s">
        <v>20</v>
      </c>
    </row>
    <row r="2" spans="1:6" x14ac:dyDescent="0.25">
      <c r="A2" t="s">
        <v>10</v>
      </c>
      <c r="D2" t="s">
        <v>10</v>
      </c>
      <c r="E2" t="s">
        <v>13</v>
      </c>
      <c r="F2">
        <v>16</v>
      </c>
    </row>
    <row r="3" spans="1:6" x14ac:dyDescent="0.25">
      <c r="A3" t="s">
        <v>11</v>
      </c>
      <c r="D3" t="s">
        <v>12</v>
      </c>
      <c r="E3" t="s">
        <v>18</v>
      </c>
      <c r="F3">
        <v>4</v>
      </c>
    </row>
    <row r="4" spans="1:6" x14ac:dyDescent="0.25">
      <c r="A4" t="s">
        <v>13</v>
      </c>
      <c r="D4" t="s">
        <v>12</v>
      </c>
      <c r="E4" t="s">
        <v>19</v>
      </c>
    </row>
    <row r="5" spans="1:6" x14ac:dyDescent="0.25">
      <c r="A5" t="s">
        <v>12</v>
      </c>
      <c r="D5" t="s">
        <v>12</v>
      </c>
      <c r="E5" t="s">
        <v>13</v>
      </c>
    </row>
    <row r="6" spans="1:6" x14ac:dyDescent="0.25">
      <c r="A6" t="s">
        <v>8</v>
      </c>
      <c r="D6" t="s">
        <v>8</v>
      </c>
      <c r="E6" t="s">
        <v>8</v>
      </c>
      <c r="F6">
        <v>1</v>
      </c>
    </row>
    <row r="7" spans="1:6" x14ac:dyDescent="0.25">
      <c r="A7" t="s">
        <v>22</v>
      </c>
      <c r="D7" t="s">
        <v>11</v>
      </c>
      <c r="E7" t="s">
        <v>11</v>
      </c>
      <c r="F7">
        <v>1</v>
      </c>
    </row>
    <row r="8" spans="1:6" x14ac:dyDescent="0.25">
      <c r="A8" t="s">
        <v>23</v>
      </c>
      <c r="D8" t="s">
        <v>11</v>
      </c>
      <c r="E8" t="s">
        <v>22</v>
      </c>
      <c r="F8">
        <v>10</v>
      </c>
    </row>
    <row r="9" spans="1:6" x14ac:dyDescent="0.25">
      <c r="D9" t="s">
        <v>23</v>
      </c>
      <c r="E9" t="s">
        <v>23</v>
      </c>
      <c r="F9">
        <v>1</v>
      </c>
    </row>
  </sheetData>
  <autoFilter ref="D1:D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Invoice</vt:lpstr>
      <vt:lpstr>Recipe</vt:lpstr>
      <vt:lpstr>VendorData</vt:lpstr>
      <vt:lpstr>RecipeName</vt:lpstr>
      <vt:lpstr>RecipeData</vt:lpstr>
      <vt:lpstr>InvoiceData</vt:lpstr>
      <vt:lpstr>InvoiceStats</vt:lpstr>
      <vt:lpstr>UOM</vt:lpstr>
      <vt:lpstr>UOMList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trent</dc:creator>
  <cp:lastModifiedBy>triley63</cp:lastModifiedBy>
  <cp:lastPrinted>2012-11-24T00:33:57Z</cp:lastPrinted>
  <dcterms:created xsi:type="dcterms:W3CDTF">2012-09-26T15:06:00Z</dcterms:created>
  <dcterms:modified xsi:type="dcterms:W3CDTF">2012-11-24T07:44:12Z</dcterms:modified>
</cp:coreProperties>
</file>